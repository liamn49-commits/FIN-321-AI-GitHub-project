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liamnelson/Downloads/"/>
    </mc:Choice>
  </mc:AlternateContent>
  <xr:revisionPtr revIDLastSave="0" documentId="8_{82FD21A2-F226-044B-99D9-F31793E824B0}" xr6:coauthVersionLast="47" xr6:coauthVersionMax="47" xr10:uidLastSave="{00000000-0000-0000-0000-000000000000}"/>
  <bookViews>
    <workbookView xWindow="5620" yWindow="1660" windowWidth="28200" windowHeight="19160" xr2:uid="{00000000-000D-0000-FFFF-FFFF00000000}"/>
  </bookViews>
  <sheets>
    <sheet name="Transaction Hedging (Payables)" sheetId="2" r:id="rId1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#REF!</definedName>
    <definedName name="forward_price_payable">'Transaction Hedging (Payables)'!$F$12</definedName>
    <definedName name="future_spot_price_payable">'Transaction Hedging (Payables)'!$C$35:$C$47</definedName>
    <definedName name="fv_put_outlay">#REF!</definedName>
    <definedName name="gbpusd_1y_scenario">#REF!</definedName>
    <definedName name="hedge_no">#REF!</definedName>
    <definedName name="named_range">'Transaction Hedging (Payables)'!$G$15</definedName>
    <definedName name="put_price">#REF!</definedName>
    <definedName name="rate_uk_1y_payable">'Transaction Hedging (Payables)'!$F$10</definedName>
    <definedName name="rate_us_1y_payable">'Transaction Hedging (Payables)'!$F$9</definedName>
    <definedName name="recievable">#REF!</definedName>
    <definedName name="x_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F29" i="2"/>
  <c r="F30" i="2" s="1"/>
  <c r="F21" i="2"/>
  <c r="F22" i="2" s="1"/>
  <c r="F18" i="2"/>
  <c r="F14" i="2"/>
  <c r="C42" i="2" l="1"/>
  <c r="H41" i="2"/>
  <c r="D41" i="2"/>
  <c r="C40" i="2"/>
  <c r="J40" i="2" s="1"/>
  <c r="J41" i="2"/>
  <c r="J42" i="2"/>
  <c r="F23" i="2"/>
  <c r="F24" i="2" s="1"/>
  <c r="F25" i="2"/>
  <c r="F26" i="2" s="1"/>
  <c r="D42" i="2" l="1"/>
  <c r="I42" i="2" s="1"/>
  <c r="H42" i="2"/>
  <c r="C43" i="2"/>
  <c r="E41" i="2"/>
  <c r="G41" i="2"/>
  <c r="D40" i="2"/>
  <c r="I40" i="2" s="1"/>
  <c r="H40" i="2"/>
  <c r="C39" i="2"/>
  <c r="F44" i="2"/>
  <c r="F41" i="2"/>
  <c r="I41" i="2"/>
  <c r="F42" i="2"/>
  <c r="F43" i="2"/>
  <c r="F45" i="2"/>
  <c r="F46" i="2"/>
  <c r="F47" i="2"/>
  <c r="F38" i="2"/>
  <c r="F39" i="2"/>
  <c r="F40" i="2"/>
  <c r="F35" i="2"/>
  <c r="F36" i="2"/>
  <c r="F37" i="2"/>
  <c r="E42" i="2" l="1"/>
  <c r="G42" i="2"/>
  <c r="J43" i="2"/>
  <c r="D43" i="2"/>
  <c r="H43" i="2"/>
  <c r="C44" i="2"/>
  <c r="K41" i="2"/>
  <c r="L41" i="2"/>
  <c r="E40" i="2"/>
  <c r="G40" i="2"/>
  <c r="J39" i="2"/>
  <c r="D39" i="2"/>
  <c r="H39" i="2"/>
  <c r="C38" i="2"/>
  <c r="K42" i="2" l="1"/>
  <c r="L42" i="2"/>
  <c r="I43" i="2"/>
  <c r="E43" i="2"/>
  <c r="G43" i="2"/>
  <c r="J44" i="2"/>
  <c r="D44" i="2"/>
  <c r="H44" i="2"/>
  <c r="C45" i="2"/>
  <c r="K40" i="2"/>
  <c r="L40" i="2"/>
  <c r="I39" i="2"/>
  <c r="E39" i="2"/>
  <c r="G39" i="2"/>
  <c r="J38" i="2"/>
  <c r="D38" i="2"/>
  <c r="H38" i="2"/>
  <c r="C37" i="2"/>
  <c r="K43" i="2" l="1"/>
  <c r="L43" i="2"/>
  <c r="I44" i="2"/>
  <c r="E44" i="2"/>
  <c r="G44" i="2"/>
  <c r="J45" i="2"/>
  <c r="D45" i="2"/>
  <c r="H45" i="2"/>
  <c r="C46" i="2"/>
  <c r="K39" i="2"/>
  <c r="L39" i="2"/>
  <c r="I38" i="2"/>
  <c r="E38" i="2"/>
  <c r="G38" i="2"/>
  <c r="J37" i="2"/>
  <c r="D37" i="2"/>
  <c r="H37" i="2"/>
  <c r="C36" i="2"/>
  <c r="K44" i="2" l="1"/>
  <c r="L44" i="2"/>
  <c r="I45" i="2"/>
  <c r="E45" i="2"/>
  <c r="G45" i="2"/>
  <c r="J46" i="2"/>
  <c r="D46" i="2"/>
  <c r="H46" i="2"/>
  <c r="C47" i="2"/>
  <c r="K38" i="2"/>
  <c r="L38" i="2"/>
  <c r="I37" i="2"/>
  <c r="E37" i="2"/>
  <c r="G37" i="2"/>
  <c r="J36" i="2"/>
  <c r="D36" i="2"/>
  <c r="H36" i="2"/>
  <c r="C35" i="2"/>
  <c r="K45" i="2" l="1"/>
  <c r="L45" i="2"/>
  <c r="I46" i="2"/>
  <c r="E46" i="2"/>
  <c r="G46" i="2"/>
  <c r="J47" i="2"/>
  <c r="D47" i="2"/>
  <c r="H47" i="2"/>
  <c r="K37" i="2"/>
  <c r="L37" i="2"/>
  <c r="I36" i="2"/>
  <c r="E36" i="2"/>
  <c r="G36" i="2"/>
  <c r="J35" i="2"/>
  <c r="D35" i="2"/>
  <c r="H35" i="2"/>
  <c r="K46" i="2" l="1"/>
  <c r="L46" i="2"/>
  <c r="I47" i="2"/>
  <c r="E47" i="2"/>
  <c r="G47" i="2"/>
  <c r="K36" i="2"/>
  <c r="L36" i="2"/>
  <c r="I35" i="2"/>
  <c r="E35" i="2"/>
  <c r="G35" i="2"/>
  <c r="L47" i="2" l="1"/>
  <c r="K47" i="2"/>
  <c r="K35" i="2"/>
  <c r="L35" i="2"/>
  <c r="F31" i="2"/>
</calcChain>
</file>

<file path=xl/sharedStrings.xml><?xml version="1.0" encoding="utf-8"?>
<sst xmlns="http://schemas.openxmlformats.org/spreadsheetml/2006/main" count="49" uniqueCount="43">
  <si>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</si>
  <si>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</si>
  <si>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</si>
  <si>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</si>
  <si>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</si>
  <si>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</si>
  <si>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</si>
  <si>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</si>
  <si>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</si>
  <si>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</si>
  <si>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</si>
  <si>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Forwards</t>
  </si>
  <si>
    <t>Options</t>
  </si>
  <si>
    <t>1. Forward Hedge</t>
  </si>
  <si>
    <t xml:space="preserve">&lt;-- LOCKED IN: in one year we will have this amount </t>
  </si>
  <si>
    <t>2. Money Market Hedge</t>
  </si>
  <si>
    <t>3. Option Hedge</t>
  </si>
  <si>
    <t>[b] Determine 1-year future value equivalent of [a]</t>
  </si>
  <si>
    <t>GBP/USD
Spot Exchange Rate
(scenarios in 1 year)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</si>
  <si>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</si>
  <si>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</si>
  <si>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</si>
  <si>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</si>
  <si>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</si>
  <si>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</si>
  <si>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</si>
  <si>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baseline</t>
  </si>
  <si>
    <t>Hedging Foreign Currency Payables</t>
  </si>
  <si>
    <t xml:space="preserve">Suppose Boeing imported a Rolls-Royce jet engine for £5 million payable in one year
</t>
  </si>
  <si>
    <t>[a] Buy GBP/USD 1-Year Forward</t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</si>
  <si>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</si>
  <si>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</si>
  <si>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</si>
  <si>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</si>
  <si>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</si>
  <si>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t>[a] Buy call</t>
  </si>
  <si>
    <t>&lt;-- HIGHEST: variable amount depends on where GBP/USD spot ends up in 1 year</t>
  </si>
  <si>
    <t>In one year, we pay</t>
  </si>
  <si>
    <t>&lt;-- Better (GBP depreciates)</t>
  </si>
  <si>
    <t>&lt;-- Worse (GBP appreciates)</t>
  </si>
  <si>
    <t>EUR/USD 1-Year Forward Exchange Rate</t>
  </si>
  <si>
    <t>EUR/USD Call Strike Price</t>
  </si>
  <si>
    <t>EUR/USD Call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</si>
</sst>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7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rgb="FF0000FF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EAD1DC"/>
      </patternFill>
    </fill>
    <fill>
      <patternFill patternType="solid">
        <fgColor theme="5" tint="0.79998168889431442"/>
        <bgColor rgb="FFFFFF00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4" borderId="11" xfId="0" applyNumberFormat="1" applyFont="1" applyFill="1" applyBorder="1" applyAlignment="1">
      <alignment vertical="top"/>
    </xf>
    <xf numFmtId="165" fontId="1" fillId="4" borderId="11" xfId="0" applyNumberFormat="1" applyFont="1" applyFill="1" applyBorder="1" applyAlignment="1">
      <alignment vertical="top"/>
    </xf>
    <xf numFmtId="0" fontId="1" fillId="4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0" fontId="1" fillId="0" borderId="14" xfId="0" applyFont="1" applyBorder="1" applyAlignment="1">
      <alignment vertical="top"/>
    </xf>
    <xf numFmtId="165" fontId="1" fillId="0" borderId="15" xfId="0" applyNumberFormat="1" applyFont="1" applyBorder="1" applyAlignment="1">
      <alignment vertical="top"/>
    </xf>
    <xf numFmtId="0" fontId="1" fillId="0" borderId="1" xfId="0" applyFont="1" applyBorder="1"/>
    <xf numFmtId="0" fontId="1" fillId="0" borderId="17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1" fillId="0" borderId="17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166" fontId="6" fillId="0" borderId="1" xfId="0" applyNumberFormat="1" applyFont="1" applyBorder="1" applyAlignment="1">
      <alignment vertical="top"/>
    </xf>
    <xf numFmtId="0" fontId="1" fillId="0" borderId="25" xfId="0" applyFont="1" applyBorder="1" applyAlignment="1">
      <alignment vertical="top"/>
    </xf>
    <xf numFmtId="0" fontId="2" fillId="4" borderId="22" xfId="0" applyFont="1" applyFill="1" applyBorder="1" applyAlignment="1">
      <alignment vertical="top"/>
    </xf>
    <xf numFmtId="0" fontId="1" fillId="0" borderId="26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66" fontId="5" fillId="3" borderId="22" xfId="0" applyNumberFormat="1" applyFont="1" applyFill="1" applyBorder="1" applyAlignment="1">
      <alignment horizontal="right" vertical="top"/>
    </xf>
    <xf numFmtId="0" fontId="1" fillId="0" borderId="27" xfId="0" applyFont="1" applyBorder="1" applyAlignment="1">
      <alignment vertical="top"/>
    </xf>
    <xf numFmtId="0" fontId="2" fillId="0" borderId="3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2" xfId="0" applyNumberFormat="1" applyFont="1" applyBorder="1" applyAlignment="1">
      <alignment horizontal="center" vertical="top"/>
    </xf>
    <xf numFmtId="166" fontId="2" fillId="5" borderId="31" xfId="0" applyNumberFormat="1" applyFont="1" applyFill="1" applyBorder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166" fontId="2" fillId="5" borderId="32" xfId="0" applyNumberFormat="1" applyFont="1" applyFill="1" applyBorder="1" applyAlignment="1">
      <alignment horizontal="center" vertical="top"/>
    </xf>
    <xf numFmtId="0" fontId="2" fillId="0" borderId="32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33" xfId="0" applyNumberFormat="1" applyFont="1" applyFill="1" applyBorder="1" applyAlignment="1">
      <alignment vertical="top"/>
    </xf>
    <xf numFmtId="165" fontId="1" fillId="2" borderId="36" xfId="0" applyNumberFormat="1" applyFont="1" applyFill="1" applyBorder="1" applyAlignment="1">
      <alignment vertical="top"/>
    </xf>
    <xf numFmtId="0" fontId="6" fillId="0" borderId="37" xfId="0" applyFont="1" applyBorder="1" applyAlignment="1">
      <alignment horizontal="center" vertical="top"/>
    </xf>
    <xf numFmtId="166" fontId="6" fillId="0" borderId="37" xfId="0" applyNumberFormat="1" applyFont="1" applyBorder="1" applyAlignment="1">
      <alignment horizontal="center" vertical="top"/>
    </xf>
    <xf numFmtId="165" fontId="1" fillId="2" borderId="39" xfId="0" applyNumberFormat="1" applyFont="1" applyFill="1" applyBorder="1" applyAlignment="1">
      <alignment vertical="top"/>
    </xf>
    <xf numFmtId="166" fontId="6" fillId="0" borderId="40" xfId="0" applyNumberFormat="1" applyFont="1" applyBorder="1" applyAlignment="1">
      <alignment horizontal="center" vertical="top"/>
    </xf>
    <xf numFmtId="166" fontId="1" fillId="0" borderId="27" xfId="0" applyNumberFormat="1" applyFont="1" applyBorder="1" applyAlignment="1">
      <alignment vertical="top"/>
    </xf>
    <xf numFmtId="166" fontId="6" fillId="0" borderId="41" xfId="0" applyNumberFormat="1" applyFont="1" applyBorder="1" applyAlignment="1">
      <alignment vertical="top"/>
    </xf>
    <xf numFmtId="166" fontId="6" fillId="0" borderId="42" xfId="0" applyNumberFormat="1" applyFont="1" applyBorder="1" applyAlignment="1">
      <alignment vertical="top"/>
    </xf>
    <xf numFmtId="166" fontId="6" fillId="0" borderId="42" xfId="0" applyNumberFormat="1" applyFont="1" applyBorder="1"/>
    <xf numFmtId="166" fontId="6" fillId="0" borderId="43" xfId="0" applyNumberFormat="1" applyFont="1" applyBorder="1"/>
    <xf numFmtId="166" fontId="6" fillId="5" borderId="41" xfId="0" applyNumberFormat="1" applyFont="1" applyFill="1" applyBorder="1" applyAlignment="1">
      <alignment vertical="top"/>
    </xf>
    <xf numFmtId="166" fontId="6" fillId="5" borderId="42" xfId="0" applyNumberFormat="1" applyFont="1" applyFill="1" applyBorder="1" applyAlignment="1">
      <alignment vertical="top"/>
    </xf>
    <xf numFmtId="166" fontId="6" fillId="5" borderId="43" xfId="0" applyNumberFormat="1" applyFont="1" applyFill="1" applyBorder="1" applyAlignment="1">
      <alignment vertical="top"/>
    </xf>
    <xf numFmtId="0" fontId="6" fillId="0" borderId="41" xfId="0" applyFont="1" applyBorder="1" applyAlignment="1">
      <alignment horizontal="center" vertical="top"/>
    </xf>
    <xf numFmtId="166" fontId="6" fillId="0" borderId="34" xfId="0" applyNumberFormat="1" applyFont="1" applyBorder="1" applyAlignment="1">
      <alignment horizontal="center" vertical="top"/>
    </xf>
    <xf numFmtId="166" fontId="6" fillId="0" borderId="44" xfId="0" applyNumberFormat="1" applyFont="1" applyBorder="1" applyAlignment="1">
      <alignment vertical="top"/>
    </xf>
    <xf numFmtId="166" fontId="6" fillId="0" borderId="1" xfId="0" applyNumberFormat="1" applyFont="1" applyBorder="1"/>
    <xf numFmtId="166" fontId="6" fillId="0" borderId="45" xfId="0" applyNumberFormat="1" applyFont="1" applyBorder="1"/>
    <xf numFmtId="166" fontId="6" fillId="5" borderId="44" xfId="0" applyNumberFormat="1" applyFont="1" applyFill="1" applyBorder="1" applyAlignment="1">
      <alignment vertical="top"/>
    </xf>
    <xf numFmtId="166" fontId="6" fillId="5" borderId="1" xfId="0" applyNumberFormat="1" applyFont="1" applyFill="1" applyBorder="1" applyAlignment="1">
      <alignment vertical="top"/>
    </xf>
    <xf numFmtId="166" fontId="6" fillId="5" borderId="45" xfId="0" applyNumberFormat="1" applyFont="1" applyFill="1" applyBorder="1" applyAlignment="1">
      <alignment vertical="top"/>
    </xf>
    <xf numFmtId="0" fontId="6" fillId="0" borderId="44" xfId="0" applyFont="1" applyBorder="1" applyAlignment="1">
      <alignment horizontal="center" vertical="top"/>
    </xf>
    <xf numFmtId="166" fontId="6" fillId="0" borderId="46" xfId="0" applyNumberFormat="1" applyFont="1" applyBorder="1" applyAlignment="1">
      <alignment vertical="top"/>
    </xf>
    <xf numFmtId="166" fontId="6" fillId="0" borderId="47" xfId="0" applyNumberFormat="1" applyFont="1" applyBorder="1" applyAlignment="1">
      <alignment vertical="top"/>
    </xf>
    <xf numFmtId="166" fontId="6" fillId="0" borderId="47" xfId="0" applyNumberFormat="1" applyFont="1" applyBorder="1"/>
    <xf numFmtId="166" fontId="6" fillId="0" borderId="48" xfId="0" applyNumberFormat="1" applyFont="1" applyBorder="1"/>
    <xf numFmtId="166" fontId="6" fillId="5" borderId="46" xfId="0" applyNumberFormat="1" applyFont="1" applyFill="1" applyBorder="1" applyAlignment="1">
      <alignment vertical="top"/>
    </xf>
    <xf numFmtId="166" fontId="6" fillId="5" borderId="47" xfId="0" applyNumberFormat="1" applyFont="1" applyFill="1" applyBorder="1" applyAlignment="1">
      <alignment vertical="top"/>
    </xf>
    <xf numFmtId="166" fontId="6" fillId="5" borderId="48" xfId="0" applyNumberFormat="1" applyFont="1" applyFill="1" applyBorder="1" applyAlignment="1">
      <alignment vertical="top"/>
    </xf>
    <xf numFmtId="0" fontId="6" fillId="0" borderId="46" xfId="0" applyFont="1" applyBorder="1" applyAlignment="1">
      <alignment horizontal="center" vertical="top"/>
    </xf>
    <xf numFmtId="166" fontId="5" fillId="7" borderId="22" xfId="0" applyNumberFormat="1" applyFont="1" applyFill="1" applyBorder="1" applyAlignment="1">
      <alignment vertical="top"/>
    </xf>
    <xf numFmtId="164" fontId="1" fillId="6" borderId="11" xfId="0" applyNumberFormat="1" applyFont="1" applyFill="1" applyBorder="1" applyAlignment="1">
      <alignment vertical="top"/>
    </xf>
    <xf numFmtId="165" fontId="1" fillId="6" borderId="11" xfId="0" applyNumberFormat="1" applyFont="1" applyFill="1" applyBorder="1" applyAlignment="1">
      <alignment vertical="top"/>
    </xf>
    <xf numFmtId="10" fontId="1" fillId="6" borderId="11" xfId="0" applyNumberFormat="1" applyFont="1" applyFill="1" applyBorder="1" applyAlignment="1">
      <alignment vertical="top"/>
    </xf>
    <xf numFmtId="165" fontId="1" fillId="6" borderId="11" xfId="0" applyNumberFormat="1" applyFont="1" applyFill="1" applyBorder="1"/>
    <xf numFmtId="165" fontId="1" fillId="6" borderId="16" xfId="0" applyNumberFormat="1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3" xfId="0" applyBorder="1"/>
    <xf numFmtId="0" fontId="0" fillId="0" borderId="4" xfId="0" applyBorder="1"/>
    <xf numFmtId="0" fontId="1" fillId="0" borderId="49" xfId="0" applyFont="1" applyBorder="1" applyAlignment="1">
      <alignment vertical="top"/>
    </xf>
    <xf numFmtId="0" fontId="2" fillId="0" borderId="51" xfId="0" applyFont="1" applyBorder="1" applyAlignment="1">
      <alignment vertical="top"/>
    </xf>
    <xf numFmtId="0" fontId="0" fillId="0" borderId="20" xfId="0" applyBorder="1"/>
    <xf numFmtId="0" fontId="0" fillId="0" borderId="23" xfId="0" applyBorder="1"/>
    <xf numFmtId="0" fontId="1" fillId="0" borderId="26" xfId="0" applyFont="1" applyBorder="1" applyAlignment="1">
      <alignment vertical="top"/>
    </xf>
    <xf numFmtId="0" fontId="0" fillId="0" borderId="24" xfId="0" applyBorder="1"/>
    <xf numFmtId="0" fontId="2" fillId="2" borderId="50" xfId="0" applyFont="1" applyFill="1" applyBorder="1" applyAlignment="1">
      <alignment vertical="top"/>
    </xf>
    <xf numFmtId="0" fontId="0" fillId="0" borderId="18" xfId="0" applyBorder="1"/>
    <xf numFmtId="0" fontId="0" fillId="0" borderId="19" xfId="0" applyBorder="1"/>
    <xf numFmtId="0" fontId="2" fillId="2" borderId="52" xfId="0" applyFont="1" applyFill="1" applyBorder="1" applyAlignment="1">
      <alignment horizontal="center" vertical="top"/>
    </xf>
    <xf numFmtId="0" fontId="0" fillId="0" borderId="30" xfId="0" applyBorder="1"/>
    <xf numFmtId="0" fontId="2" fillId="0" borderId="53" xfId="0" applyFont="1" applyBorder="1" applyAlignment="1">
      <alignment horizontal="center" vertical="top"/>
    </xf>
    <xf numFmtId="0" fontId="0" fillId="0" borderId="29" xfId="0" applyBorder="1"/>
    <xf numFmtId="0" fontId="0" fillId="0" borderId="28" xfId="0" applyBorder="1"/>
    <xf numFmtId="0" fontId="1" fillId="0" borderId="25" xfId="0" applyFont="1" applyBorder="1" applyAlignment="1">
      <alignment vertical="top"/>
    </xf>
    <xf numFmtId="0" fontId="0" fillId="0" borderId="21" xfId="0" applyBorder="1"/>
    <xf numFmtId="0" fontId="2" fillId="0" borderId="2" xfId="0" applyFont="1" applyBorder="1" applyAlignment="1">
      <alignment horizontal="center" vertical="center" textRotation="90"/>
    </xf>
    <xf numFmtId="0" fontId="0" fillId="0" borderId="35" xfId="0" applyBorder="1"/>
    <xf numFmtId="0" fontId="0" fillId="0" borderId="38" xfId="0" applyBorder="1"/>
    <xf numFmtId="0" fontId="2" fillId="2" borderId="50" xfId="0" applyFont="1" applyFill="1" applyBorder="1"/>
    <xf numFmtId="0" fontId="2" fillId="2" borderId="6" xfId="0" applyFont="1" applyFill="1" applyBorder="1" applyAlignment="1">
      <alignment horizontal="center" vertical="top"/>
    </xf>
    <xf numFmtId="0" fontId="0" fillId="0" borderId="7" xfId="0" applyBorder="1"/>
    <xf numFmtId="0" fontId="2" fillId="5" borderId="53" xfId="0" applyFont="1" applyFill="1" applyBorder="1" applyAlignment="1">
      <alignment horizontal="center" vertical="top"/>
    </xf>
    <xf numFmtId="0" fontId="3" fillId="6" borderId="12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164" fontId="5" fillId="0" borderId="1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tabSelected="1" zoomScale="114" workbookViewId="0">
      <selection activeCell="F15" sqref="C8:F15"/>
    </sheetView>
  </sheetViews>
  <sheetFormatPr baseColWidth="10" defaultColWidth="12.6640625" defaultRowHeight="15.75" customHeight="1" x14ac:dyDescent="0.15"/>
  <cols>
    <col min="1" max="2" width="3" customWidth="1"/>
    <col min="3" max="3" width="78.5" bestFit="1" customWidth="1"/>
    <col min="4" max="4" width="19.6640625" bestFit="1" customWidth="1"/>
    <col min="5" max="5" width="27.83203125" bestFit="1" customWidth="1"/>
    <col min="6" max="6" width="36.5" bestFit="1" customWidth="1"/>
    <col min="7" max="7" width="25.6640625" bestFit="1" customWidth="1"/>
    <col min="8" max="8" width="64" bestFit="1" customWidth="1"/>
    <col min="9" max="9" width="36.5" bestFit="1" customWidth="1"/>
    <col min="10" max="10" width="25.6640625" bestFit="1" customWidth="1"/>
    <col min="11" max="11" width="32.33203125" bestFit="1" customWidth="1"/>
    <col min="12" max="12" width="26.83203125" bestFit="1" customWidth="1"/>
  </cols>
  <sheetData>
    <row r="1" spans="1:30" ht="23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customHeight="1" x14ac:dyDescent="0.15">
      <c r="A2" s="1"/>
      <c r="B2" s="2"/>
      <c r="C2" s="3" t="s">
        <v>27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15">
      <c r="A3" s="1"/>
      <c r="B3" s="2"/>
      <c r="C3" s="84" t="s">
        <v>28</v>
      </c>
      <c r="D3" s="85"/>
      <c r="E3" s="85"/>
      <c r="F3" s="85"/>
      <c r="G3" s="85"/>
      <c r="H3" s="85"/>
      <c r="I3" s="85"/>
      <c r="J3" s="8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customHeight="1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customHeight="1" x14ac:dyDescent="0.25">
      <c r="A5" s="1"/>
      <c r="B5" s="4"/>
      <c r="C5" s="107" t="s">
        <v>0</v>
      </c>
      <c r="D5" s="108"/>
      <c r="E5" s="108"/>
      <c r="F5" s="6" t="s">
        <v>1</v>
      </c>
      <c r="G5" s="7"/>
      <c r="H5" s="8" t="s">
        <v>2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customHeight="1" x14ac:dyDescent="0.25">
      <c r="A6" s="1"/>
      <c r="B6" s="4"/>
      <c r="C6" s="10" t="s">
        <v>3</v>
      </c>
      <c r="D6" s="11"/>
      <c r="E6" s="11"/>
      <c r="F6" s="79">
        <v>4500000</v>
      </c>
      <c r="G6" s="12"/>
      <c r="H6" s="110" t="s">
        <v>4</v>
      </c>
      <c r="I6" s="1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customHeight="1" x14ac:dyDescent="0.25">
      <c r="A7" s="1"/>
      <c r="B7" s="4"/>
      <c r="C7" s="10" t="s">
        <v>5</v>
      </c>
      <c r="D7" s="14"/>
      <c r="E7" s="14"/>
      <c r="F7" s="80">
        <v>1.1516999999999999</v>
      </c>
      <c r="G7" s="15"/>
      <c r="H7" s="111" t="s">
        <v>6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customHeight="1" x14ac:dyDescent="0.15">
      <c r="A8" s="1"/>
      <c r="B8" s="4"/>
      <c r="C8" s="16" t="s">
        <v>7</v>
      </c>
      <c r="D8" s="17"/>
      <c r="E8" s="17"/>
      <c r="F8" s="18"/>
      <c r="G8" s="9"/>
      <c r="H8" s="112" t="s">
        <v>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customHeight="1" x14ac:dyDescent="0.15">
      <c r="A9" s="1"/>
      <c r="B9" s="4"/>
      <c r="C9" s="10" t="s">
        <v>9</v>
      </c>
      <c r="D9" s="17"/>
      <c r="E9" s="17"/>
      <c r="F9" s="81">
        <v>3.6799999999999999E-2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customHeight="1" x14ac:dyDescent="0.15">
      <c r="A10" s="1"/>
      <c r="B10" s="4"/>
      <c r="C10" s="10" t="s">
        <v>10</v>
      </c>
      <c r="D10" s="17"/>
      <c r="E10" s="17"/>
      <c r="F10" s="81">
        <v>2.7990000000000001E-2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customHeight="1" x14ac:dyDescent="0.15">
      <c r="A11" s="1"/>
      <c r="B11" s="4"/>
      <c r="C11" s="16" t="s">
        <v>11</v>
      </c>
      <c r="D11" s="14"/>
      <c r="E11" s="14"/>
      <c r="F11" s="19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customHeight="1" x14ac:dyDescent="0.15">
      <c r="A12" s="1"/>
      <c r="B12" s="4"/>
      <c r="C12" s="10" t="s">
        <v>40</v>
      </c>
      <c r="D12" s="14"/>
      <c r="E12" s="14"/>
      <c r="F12" s="80">
        <v>1.0874999999999999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customHeight="1" x14ac:dyDescent="0.15">
      <c r="A13" s="1"/>
      <c r="B13" s="4"/>
      <c r="C13" s="16" t="s">
        <v>12</v>
      </c>
      <c r="D13" s="2"/>
      <c r="E13" s="2"/>
      <c r="F13" s="20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customHeight="1" x14ac:dyDescent="0.25">
      <c r="A14" s="1"/>
      <c r="B14" s="4"/>
      <c r="C14" s="21" t="s">
        <v>41</v>
      </c>
      <c r="D14" s="22"/>
      <c r="E14" s="22"/>
      <c r="F14" s="82">
        <f>F7</f>
        <v>1.1516999999999999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customHeight="1" x14ac:dyDescent="0.25">
      <c r="A15" s="1"/>
      <c r="B15" s="4"/>
      <c r="C15" s="23" t="s">
        <v>42</v>
      </c>
      <c r="D15" s="24"/>
      <c r="E15" s="24"/>
      <c r="F15" s="83">
        <v>1.43E-2</v>
      </c>
      <c r="G15" s="9"/>
      <c r="H15" s="25"/>
      <c r="I15" s="2"/>
      <c r="J15" s="25"/>
      <c r="K15" s="25"/>
      <c r="L15" s="25"/>
      <c r="M15" s="2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customHeight="1" x14ac:dyDescent="0.25">
      <c r="A16" s="1"/>
      <c r="B16" s="2"/>
      <c r="C16" s="26"/>
      <c r="D16" s="26"/>
      <c r="E16" s="26"/>
      <c r="F16" s="26"/>
      <c r="G16" s="27"/>
      <c r="H16" s="27"/>
      <c r="I16" s="5"/>
      <c r="J16" s="28"/>
      <c r="K16" s="2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customHeight="1" x14ac:dyDescent="0.25">
      <c r="A17" s="1"/>
      <c r="B17" s="4"/>
      <c r="C17" s="106" t="s">
        <v>13</v>
      </c>
      <c r="D17" s="94"/>
      <c r="E17" s="94"/>
      <c r="F17" s="94"/>
      <c r="G17" s="94"/>
      <c r="H17" s="94"/>
      <c r="I17" s="94"/>
      <c r="J17" s="95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customHeight="1" x14ac:dyDescent="0.15">
      <c r="A18" s="1"/>
      <c r="B18" s="4"/>
      <c r="C18" s="101" t="s">
        <v>29</v>
      </c>
      <c r="D18" s="89"/>
      <c r="E18" s="102"/>
      <c r="F18" s="78">
        <f>contract_notional_value_payable*forward_price_payable</f>
        <v>4893750</v>
      </c>
      <c r="G18" s="88" t="s">
        <v>14</v>
      </c>
      <c r="H18" s="89"/>
      <c r="I18" s="89"/>
      <c r="J18" s="90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customHeight="1" x14ac:dyDescent="0.15">
      <c r="A19" s="1"/>
      <c r="B19" s="2"/>
      <c r="C19" s="26"/>
      <c r="D19" s="26"/>
      <c r="E19" s="26"/>
      <c r="F19" s="26"/>
      <c r="G19" s="29"/>
      <c r="H19" s="26"/>
      <c r="I19" s="26"/>
      <c r="J19" s="2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customHeight="1" x14ac:dyDescent="0.15">
      <c r="A20" s="1"/>
      <c r="B20" s="4"/>
      <c r="C20" s="93" t="s">
        <v>15</v>
      </c>
      <c r="D20" s="94"/>
      <c r="E20" s="94"/>
      <c r="F20" s="94"/>
      <c r="G20" s="94"/>
      <c r="H20" s="94"/>
      <c r="I20" s="94"/>
      <c r="J20" s="95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customHeight="1" x14ac:dyDescent="0.15">
      <c r="A21" s="1"/>
      <c r="B21" s="4"/>
      <c r="C21" s="87" t="s">
        <v>30</v>
      </c>
      <c r="D21" s="85"/>
      <c r="E21" s="86"/>
      <c r="F21" s="30">
        <f>contract_notional_value_payable/(1+rate_uk_1y_payable)</f>
        <v>4377474.48905145</v>
      </c>
      <c r="G21" s="91"/>
      <c r="H21" s="85"/>
      <c r="I21" s="85"/>
      <c r="J21" s="92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customHeight="1" x14ac:dyDescent="0.15">
      <c r="A22" s="1"/>
      <c r="B22" s="4"/>
      <c r="C22" s="87" t="s">
        <v>31</v>
      </c>
      <c r="D22" s="85"/>
      <c r="E22" s="86"/>
      <c r="F22" s="31">
        <f>F21*current_spot_price_payable</f>
        <v>5041537.3690405544</v>
      </c>
      <c r="G22" s="91"/>
      <c r="H22" s="85"/>
      <c r="I22" s="85"/>
      <c r="J22" s="92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customHeight="1" x14ac:dyDescent="0.15">
      <c r="A23" s="1"/>
      <c r="B23" s="4"/>
      <c r="C23" s="87" t="s">
        <v>32</v>
      </c>
      <c r="D23" s="85"/>
      <c r="E23" s="86"/>
      <c r="F23" s="30">
        <f>F22/current_spot_price_payable</f>
        <v>4377474.48905145</v>
      </c>
      <c r="G23" s="34"/>
      <c r="H23" s="34"/>
      <c r="I23" s="34"/>
      <c r="J23" s="3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customHeight="1" x14ac:dyDescent="0.15">
      <c r="A24" s="1"/>
      <c r="B24" s="4"/>
      <c r="C24" s="87" t="s">
        <v>33</v>
      </c>
      <c r="D24" s="85"/>
      <c r="E24" s="86"/>
      <c r="F24" s="30">
        <f>F23*(1+rate_uk_1y_payable)</f>
        <v>4500000</v>
      </c>
      <c r="G24" s="34"/>
      <c r="H24" s="34"/>
      <c r="I24" s="34"/>
      <c r="J24" s="3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customHeight="1" x14ac:dyDescent="0.15">
      <c r="A25" s="1"/>
      <c r="B25" s="4"/>
      <c r="C25" s="87" t="s">
        <v>34</v>
      </c>
      <c r="D25" s="85"/>
      <c r="E25" s="86"/>
      <c r="F25" s="31">
        <f>F22*(1+rate_us_1y_payable)</f>
        <v>5227065.9442212461</v>
      </c>
      <c r="G25" s="91"/>
      <c r="H25" s="85"/>
      <c r="I25" s="85"/>
      <c r="J25" s="92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customHeight="1" x14ac:dyDescent="0.15">
      <c r="A26" s="1"/>
      <c r="B26" s="4"/>
      <c r="C26" s="32"/>
      <c r="D26" s="33"/>
      <c r="E26" s="33"/>
      <c r="F26" s="78">
        <f>F25</f>
        <v>5227065.9442212461</v>
      </c>
      <c r="G26" s="88" t="s">
        <v>14</v>
      </c>
      <c r="H26" s="89"/>
      <c r="I26" s="89"/>
      <c r="J26" s="90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customHeight="1" x14ac:dyDescent="0.15">
      <c r="A27" s="1"/>
      <c r="B27" s="2"/>
      <c r="C27" s="26"/>
      <c r="D27" s="26"/>
      <c r="E27" s="26"/>
      <c r="F27" s="26"/>
      <c r="G27" s="29"/>
      <c r="H27" s="26"/>
      <c r="I27" s="26"/>
      <c r="J27" s="2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customHeight="1" x14ac:dyDescent="0.15">
      <c r="A28" s="1"/>
      <c r="B28" s="4"/>
      <c r="C28" s="93" t="s">
        <v>16</v>
      </c>
      <c r="D28" s="94"/>
      <c r="E28" s="94"/>
      <c r="F28" s="94"/>
      <c r="G28" s="94"/>
      <c r="H28" s="94"/>
      <c r="I28" s="94"/>
      <c r="J28" s="95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customHeight="1" x14ac:dyDescent="0.25">
      <c r="A29" s="1"/>
      <c r="B29" s="4"/>
      <c r="C29" s="87" t="s">
        <v>35</v>
      </c>
      <c r="D29" s="85"/>
      <c r="E29" s="86"/>
      <c r="F29" s="31">
        <f>-call_price*contract_notional_value_payable</f>
        <v>-64350</v>
      </c>
      <c r="G29" s="25"/>
      <c r="H29" s="2"/>
      <c r="I29" s="2"/>
      <c r="J29" s="3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customHeight="1" x14ac:dyDescent="0.25">
      <c r="A30" s="1"/>
      <c r="B30" s="4"/>
      <c r="C30" s="87" t="s">
        <v>17</v>
      </c>
      <c r="D30" s="85"/>
      <c r="E30" s="86"/>
      <c r="F30" s="31">
        <f>F29*(1+rate_us_1y_payable)</f>
        <v>-66718.080000000002</v>
      </c>
      <c r="G30" s="25"/>
      <c r="H30" s="2"/>
      <c r="I30" s="2"/>
      <c r="J30" s="3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customHeight="1" x14ac:dyDescent="0.15">
      <c r="A31" s="1"/>
      <c r="B31" s="4"/>
      <c r="C31" s="32"/>
      <c r="D31" s="35"/>
      <c r="E31" s="35"/>
      <c r="F31" s="36">
        <f>MAX(G35:G47)</f>
        <v>5249368.08</v>
      </c>
      <c r="G31" s="88" t="s">
        <v>36</v>
      </c>
      <c r="H31" s="89"/>
      <c r="I31" s="89"/>
      <c r="J31" s="90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customHeight="1" x14ac:dyDescent="0.15">
      <c r="A32" s="1"/>
      <c r="B32" s="2"/>
      <c r="C32" s="37"/>
      <c r="D32" s="37"/>
      <c r="E32" s="37"/>
      <c r="F32" s="37"/>
      <c r="G32" s="53"/>
      <c r="H32" s="37"/>
      <c r="I32" s="37"/>
      <c r="J32" s="3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customHeight="1" x14ac:dyDescent="0.15">
      <c r="A33" s="1"/>
      <c r="B33" s="4"/>
      <c r="C33" s="96" t="s">
        <v>18</v>
      </c>
      <c r="D33" s="98" t="s">
        <v>37</v>
      </c>
      <c r="E33" s="100"/>
      <c r="F33" s="100"/>
      <c r="G33" s="99"/>
      <c r="H33" s="109" t="s">
        <v>19</v>
      </c>
      <c r="I33" s="100"/>
      <c r="J33" s="99"/>
      <c r="K33" s="98" t="s">
        <v>20</v>
      </c>
      <c r="L33" s="99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" customHeight="1" x14ac:dyDescent="0.15">
      <c r="A34" s="1"/>
      <c r="B34" s="4"/>
      <c r="C34" s="97"/>
      <c r="D34" s="38" t="s">
        <v>21</v>
      </c>
      <c r="E34" s="39" t="s">
        <v>13</v>
      </c>
      <c r="F34" s="40" t="s">
        <v>15</v>
      </c>
      <c r="G34" s="41" t="s">
        <v>16</v>
      </c>
      <c r="H34" s="42" t="s">
        <v>22</v>
      </c>
      <c r="I34" s="43" t="s">
        <v>15</v>
      </c>
      <c r="J34" s="44" t="s">
        <v>16</v>
      </c>
      <c r="K34" s="38" t="s">
        <v>23</v>
      </c>
      <c r="L34" s="45" t="s">
        <v>24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customHeight="1" x14ac:dyDescent="0.25">
      <c r="A35" s="46"/>
      <c r="B35" s="103" t="s">
        <v>25</v>
      </c>
      <c r="C35" s="47">
        <f t="shared" ref="C35:C40" si="0">C36-0.05</f>
        <v>0.85169999999999968</v>
      </c>
      <c r="D35" s="54">
        <f t="shared" ref="D35:D47" si="1">future_spot_price_payable*contract_notional_value_payable</f>
        <v>3832649.9999999986</v>
      </c>
      <c r="E35" s="55">
        <f t="shared" ref="E35:E47" si="2">$D35+(forward_price_payable-future_spot_price_payable)*contract_notional_value_payable</f>
        <v>4893750</v>
      </c>
      <c r="F35" s="56">
        <f t="shared" ref="F35:F47" si="3">$F$26</f>
        <v>5227065.9442212461</v>
      </c>
      <c r="G35" s="57">
        <f t="shared" ref="G35:G47" si="4">$D35-J35</f>
        <v>3899368.0799999987</v>
      </c>
      <c r="H35" s="58">
        <f t="shared" ref="H35:H47" si="5">(forward_price_payable-future_spot_price_payable)*contract_notional_value_payable</f>
        <v>1061100.0000000009</v>
      </c>
      <c r="I35" s="59">
        <f t="shared" ref="I35:I47" si="6">$F$26-D35</f>
        <v>1394415.9442212475</v>
      </c>
      <c r="J35" s="60">
        <f t="shared" ref="J35:J47" si="7">F$30+MAX(0,(future_spot_price_payable-call_strike)*contract_notional_value_payable)</f>
        <v>-66718.080000000002</v>
      </c>
      <c r="K35" s="61" t="str">
        <f t="shared" ref="K35:K47" si="8">IF(E35= MIN(D35,E35,F35,G35),$E$34,IF(F35= MIN(D35,E35,F35,G35),$F$34,IF(G35= MIN(D35,E35,F35,G35),$G$34,$D$34)))</f>
        <v>0. No Hedge</v>
      </c>
      <c r="L35" s="62" t="str">
        <f t="shared" ref="L35:L47" si="9">IF(E35= MIN(E35,F35,G35),$E$34,IF(F35= MIN(E35,F35,G35),$F$34,$G$34))</f>
        <v>3. Option Hedge</v>
      </c>
      <c r="M35" s="9" t="s">
        <v>38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customHeight="1" x14ac:dyDescent="0.25">
      <c r="A36" s="46"/>
      <c r="B36" s="104"/>
      <c r="C36" s="48">
        <f t="shared" si="0"/>
        <v>0.90169999999999972</v>
      </c>
      <c r="D36" s="63">
        <f t="shared" si="1"/>
        <v>4057649.9999999986</v>
      </c>
      <c r="E36" s="31">
        <f t="shared" si="2"/>
        <v>4893749.9999999991</v>
      </c>
      <c r="F36" s="64">
        <f t="shared" si="3"/>
        <v>5227065.9442212461</v>
      </c>
      <c r="G36" s="65">
        <f t="shared" si="4"/>
        <v>4124368.0799999987</v>
      </c>
      <c r="H36" s="66">
        <f t="shared" si="5"/>
        <v>836100.00000000081</v>
      </c>
      <c r="I36" s="67">
        <f t="shared" si="6"/>
        <v>1169415.9442212475</v>
      </c>
      <c r="J36" s="68">
        <f t="shared" si="7"/>
        <v>-66718.080000000002</v>
      </c>
      <c r="K36" s="69" t="str">
        <f t="shared" si="8"/>
        <v>0. No Hedge</v>
      </c>
      <c r="L36" s="50" t="str">
        <f t="shared" si="9"/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customHeight="1" x14ac:dyDescent="0.25">
      <c r="A37" s="46"/>
      <c r="B37" s="104"/>
      <c r="C37" s="48">
        <f t="shared" si="0"/>
        <v>0.95169999999999977</v>
      </c>
      <c r="D37" s="63">
        <f t="shared" si="1"/>
        <v>4282649.9999999991</v>
      </c>
      <c r="E37" s="31">
        <f t="shared" si="2"/>
        <v>4893750</v>
      </c>
      <c r="F37" s="64">
        <f t="shared" si="3"/>
        <v>5227065.9442212461</v>
      </c>
      <c r="G37" s="65">
        <f t="shared" si="4"/>
        <v>4349368.0799999991</v>
      </c>
      <c r="H37" s="66">
        <f t="shared" si="5"/>
        <v>611100.0000000007</v>
      </c>
      <c r="I37" s="67">
        <f t="shared" si="6"/>
        <v>944415.94422124699</v>
      </c>
      <c r="J37" s="68">
        <f t="shared" si="7"/>
        <v>-66718.080000000002</v>
      </c>
      <c r="K37" s="69" t="str">
        <f t="shared" si="8"/>
        <v>0. No Hedge</v>
      </c>
      <c r="L37" s="50" t="str">
        <f t="shared" si="9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customHeight="1" x14ac:dyDescent="0.25">
      <c r="A38" s="46"/>
      <c r="B38" s="104"/>
      <c r="C38" s="48">
        <f t="shared" si="0"/>
        <v>1.0016999999999998</v>
      </c>
      <c r="D38" s="63">
        <f t="shared" si="1"/>
        <v>4507649.9999999991</v>
      </c>
      <c r="E38" s="31">
        <f t="shared" si="2"/>
        <v>4893750</v>
      </c>
      <c r="F38" s="64">
        <f t="shared" si="3"/>
        <v>5227065.9442212461</v>
      </c>
      <c r="G38" s="65">
        <f t="shared" si="4"/>
        <v>4574368.0799999991</v>
      </c>
      <c r="H38" s="66">
        <f t="shared" si="5"/>
        <v>386100.00000000047</v>
      </c>
      <c r="I38" s="67">
        <f t="shared" si="6"/>
        <v>719415.94422124699</v>
      </c>
      <c r="J38" s="68">
        <f t="shared" si="7"/>
        <v>-66718.080000000002</v>
      </c>
      <c r="K38" s="69" t="str">
        <f t="shared" si="8"/>
        <v>0. No Hedge</v>
      </c>
      <c r="L38" s="50" t="str">
        <f t="shared" si="9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customHeight="1" x14ac:dyDescent="0.25">
      <c r="A39" s="46"/>
      <c r="B39" s="104"/>
      <c r="C39" s="48">
        <f t="shared" si="0"/>
        <v>1.0516999999999999</v>
      </c>
      <c r="D39" s="63">
        <f t="shared" si="1"/>
        <v>4732649.9999999991</v>
      </c>
      <c r="E39" s="31">
        <f t="shared" si="2"/>
        <v>4893749.9999999991</v>
      </c>
      <c r="F39" s="64">
        <f t="shared" si="3"/>
        <v>5227065.9442212461</v>
      </c>
      <c r="G39" s="65">
        <f t="shared" si="4"/>
        <v>4799368.0799999991</v>
      </c>
      <c r="H39" s="66">
        <f t="shared" si="5"/>
        <v>161100.00000000023</v>
      </c>
      <c r="I39" s="67">
        <f t="shared" si="6"/>
        <v>494415.94422124699</v>
      </c>
      <c r="J39" s="68">
        <f t="shared" si="7"/>
        <v>-66718.080000000002</v>
      </c>
      <c r="K39" s="69" t="str">
        <f t="shared" si="8"/>
        <v>0. No Hedge</v>
      </c>
      <c r="L39" s="50" t="str">
        <f t="shared" si="9"/>
        <v>3. Option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customHeight="1" x14ac:dyDescent="0.25">
      <c r="A40" s="46"/>
      <c r="B40" s="104"/>
      <c r="C40" s="48">
        <f t="shared" si="0"/>
        <v>1.1016999999999999</v>
      </c>
      <c r="D40" s="63">
        <f t="shared" si="1"/>
        <v>4957650</v>
      </c>
      <c r="E40" s="31">
        <f t="shared" si="2"/>
        <v>4893750</v>
      </c>
      <c r="F40" s="64">
        <f t="shared" si="3"/>
        <v>5227065.9442212461</v>
      </c>
      <c r="G40" s="65">
        <f t="shared" si="4"/>
        <v>5024368.08</v>
      </c>
      <c r="H40" s="66">
        <f t="shared" si="5"/>
        <v>-63899.999999999956</v>
      </c>
      <c r="I40" s="67">
        <f t="shared" si="6"/>
        <v>269415.94422124606</v>
      </c>
      <c r="J40" s="68">
        <f t="shared" si="7"/>
        <v>-66718.080000000002</v>
      </c>
      <c r="K40" s="69" t="str">
        <f t="shared" si="8"/>
        <v>1. Forward Hedge</v>
      </c>
      <c r="L40" s="49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customHeight="1" x14ac:dyDescent="0.25">
      <c r="A41" s="46"/>
      <c r="B41" s="104"/>
      <c r="C41" s="48">
        <f>F7</f>
        <v>1.1516999999999999</v>
      </c>
      <c r="D41" s="63">
        <f t="shared" si="1"/>
        <v>5182650</v>
      </c>
      <c r="E41" s="31">
        <f t="shared" si="2"/>
        <v>4893750</v>
      </c>
      <c r="F41" s="64">
        <f t="shared" si="3"/>
        <v>5227065.9442212461</v>
      </c>
      <c r="G41" s="65">
        <f t="shared" si="4"/>
        <v>5249368.08</v>
      </c>
      <c r="H41" s="66">
        <f t="shared" si="5"/>
        <v>-288900.00000000017</v>
      </c>
      <c r="I41" s="67">
        <f t="shared" si="6"/>
        <v>44415.944221246056</v>
      </c>
      <c r="J41" s="68">
        <f t="shared" si="7"/>
        <v>-66718.080000000002</v>
      </c>
      <c r="K41" s="69" t="str">
        <f t="shared" si="8"/>
        <v>1. Forward Hedge</v>
      </c>
      <c r="L41" s="49" t="str">
        <f t="shared" si="9"/>
        <v>1. Forward Hedge</v>
      </c>
      <c r="M41" s="9" t="s">
        <v>26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customHeight="1" x14ac:dyDescent="0.25">
      <c r="A42" s="46"/>
      <c r="B42" s="104"/>
      <c r="C42" s="48">
        <f t="shared" ref="C42:C47" si="10">C41+0.05</f>
        <v>1.2017</v>
      </c>
      <c r="D42" s="63">
        <f t="shared" si="1"/>
        <v>5407650</v>
      </c>
      <c r="E42" s="31">
        <f t="shared" si="2"/>
        <v>4893750</v>
      </c>
      <c r="F42" s="64">
        <f t="shared" si="3"/>
        <v>5227065.9442212461</v>
      </c>
      <c r="G42" s="65">
        <f t="shared" si="4"/>
        <v>5249368.08</v>
      </c>
      <c r="H42" s="66">
        <f t="shared" si="5"/>
        <v>-513900.00000000035</v>
      </c>
      <c r="I42" s="67">
        <f t="shared" si="6"/>
        <v>-180584.05577875394</v>
      </c>
      <c r="J42" s="68">
        <f t="shared" si="7"/>
        <v>158281.92000000022</v>
      </c>
      <c r="K42" s="69" t="str">
        <f t="shared" si="8"/>
        <v>1. Forward Hedge</v>
      </c>
      <c r="L42" s="49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customHeight="1" x14ac:dyDescent="0.25">
      <c r="A43" s="46"/>
      <c r="B43" s="104"/>
      <c r="C43" s="48">
        <f t="shared" si="10"/>
        <v>1.2517</v>
      </c>
      <c r="D43" s="63">
        <f t="shared" si="1"/>
        <v>5632650</v>
      </c>
      <c r="E43" s="31">
        <f t="shared" si="2"/>
        <v>4893749.9999999991</v>
      </c>
      <c r="F43" s="64">
        <f t="shared" si="3"/>
        <v>5227065.9442212461</v>
      </c>
      <c r="G43" s="65">
        <f t="shared" si="4"/>
        <v>5249368.08</v>
      </c>
      <c r="H43" s="66">
        <f t="shared" si="5"/>
        <v>-738900.00000000058</v>
      </c>
      <c r="I43" s="67">
        <f t="shared" si="6"/>
        <v>-405584.05577875394</v>
      </c>
      <c r="J43" s="68">
        <f t="shared" si="7"/>
        <v>383281.92000000039</v>
      </c>
      <c r="K43" s="69" t="str">
        <f t="shared" si="8"/>
        <v>1. Forward Hedge</v>
      </c>
      <c r="L43" s="49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customHeight="1" x14ac:dyDescent="0.25">
      <c r="A44" s="46"/>
      <c r="B44" s="104"/>
      <c r="C44" s="48">
        <f t="shared" si="10"/>
        <v>1.3017000000000001</v>
      </c>
      <c r="D44" s="63">
        <f t="shared" si="1"/>
        <v>5857650</v>
      </c>
      <c r="E44" s="31">
        <f t="shared" si="2"/>
        <v>4893749.9999999991</v>
      </c>
      <c r="F44" s="64">
        <f t="shared" si="3"/>
        <v>5227065.9442212461</v>
      </c>
      <c r="G44" s="65">
        <f t="shared" si="4"/>
        <v>5249368.0799999991</v>
      </c>
      <c r="H44" s="66">
        <f t="shared" si="5"/>
        <v>-963900.0000000007</v>
      </c>
      <c r="I44" s="67">
        <f t="shared" si="6"/>
        <v>-630584.05577875394</v>
      </c>
      <c r="J44" s="68">
        <f t="shared" si="7"/>
        <v>608281.92000000062</v>
      </c>
      <c r="K44" s="69" t="str">
        <f t="shared" si="8"/>
        <v>1. Forward Hedge</v>
      </c>
      <c r="L44" s="50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customHeight="1" x14ac:dyDescent="0.25">
      <c r="A45" s="46"/>
      <c r="B45" s="104"/>
      <c r="C45" s="48">
        <f t="shared" si="10"/>
        <v>1.3517000000000001</v>
      </c>
      <c r="D45" s="63">
        <f t="shared" si="1"/>
        <v>6082650.0000000009</v>
      </c>
      <c r="E45" s="31">
        <f t="shared" si="2"/>
        <v>4893750</v>
      </c>
      <c r="F45" s="64">
        <f t="shared" si="3"/>
        <v>5227065.9442212461</v>
      </c>
      <c r="G45" s="65">
        <f t="shared" si="4"/>
        <v>5249368.08</v>
      </c>
      <c r="H45" s="66">
        <f t="shared" si="5"/>
        <v>-1188900.0000000009</v>
      </c>
      <c r="I45" s="67">
        <f t="shared" si="6"/>
        <v>-855584.05577875488</v>
      </c>
      <c r="J45" s="68">
        <f t="shared" si="7"/>
        <v>833281.92000000086</v>
      </c>
      <c r="K45" s="69" t="str">
        <f t="shared" si="8"/>
        <v>1. Forward Hedge</v>
      </c>
      <c r="L45" s="50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customHeight="1" x14ac:dyDescent="0.25">
      <c r="A46" s="46"/>
      <c r="B46" s="104"/>
      <c r="C46" s="48">
        <f t="shared" si="10"/>
        <v>1.4017000000000002</v>
      </c>
      <c r="D46" s="63">
        <f t="shared" si="1"/>
        <v>6307650.0000000009</v>
      </c>
      <c r="E46" s="31">
        <f t="shared" si="2"/>
        <v>4893750</v>
      </c>
      <c r="F46" s="64">
        <f t="shared" si="3"/>
        <v>5227065.9442212461</v>
      </c>
      <c r="G46" s="65">
        <f t="shared" si="4"/>
        <v>5249368.08</v>
      </c>
      <c r="H46" s="66">
        <f t="shared" si="5"/>
        <v>-1413900.0000000012</v>
      </c>
      <c r="I46" s="67">
        <f t="shared" si="6"/>
        <v>-1080584.0557787549</v>
      </c>
      <c r="J46" s="68">
        <f t="shared" si="7"/>
        <v>1058281.9200000009</v>
      </c>
      <c r="K46" s="69" t="str">
        <f t="shared" si="8"/>
        <v>1. Forward Hedge</v>
      </c>
      <c r="L46" s="50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customHeight="1" x14ac:dyDescent="0.25">
      <c r="A47" s="46"/>
      <c r="B47" s="105"/>
      <c r="C47" s="51">
        <f t="shared" si="10"/>
        <v>1.4517000000000002</v>
      </c>
      <c r="D47" s="70">
        <f t="shared" si="1"/>
        <v>6532650.0000000009</v>
      </c>
      <c r="E47" s="71">
        <f t="shared" si="2"/>
        <v>4893750</v>
      </c>
      <c r="F47" s="72">
        <f t="shared" si="3"/>
        <v>5227065.9442212461</v>
      </c>
      <c r="G47" s="73">
        <f t="shared" si="4"/>
        <v>5249368.08</v>
      </c>
      <c r="H47" s="74">
        <f t="shared" si="5"/>
        <v>-1638900.0000000014</v>
      </c>
      <c r="I47" s="75">
        <f t="shared" si="6"/>
        <v>-1305584.0557787549</v>
      </c>
      <c r="J47" s="76">
        <f t="shared" si="7"/>
        <v>1283281.9200000011</v>
      </c>
      <c r="K47" s="77" t="str">
        <f t="shared" si="8"/>
        <v>1. Forward Hedge</v>
      </c>
      <c r="L47" s="52" t="str">
        <f t="shared" si="9"/>
        <v>1. Forward Hedge</v>
      </c>
      <c r="M47" s="9" t="s">
        <v>39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customHeight="1" x14ac:dyDescent="0.15">
      <c r="A48" s="1"/>
      <c r="B48" s="2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customHeight="1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customHeight="1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customHeight="1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customHeight="1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customHeight="1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customHeight="1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customHeight="1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customHeight="1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customHeight="1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customHeight="1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customHeight="1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customHeight="1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customHeight="1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customHeight="1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customHeight="1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customHeight="1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customHeight="1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customHeight="1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customHeight="1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customHeight="1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customHeight="1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customHeight="1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customHeight="1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customHeight="1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customHeight="1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customHeight="1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customHeight="1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customHeight="1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customHeight="1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customHeight="1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customHeight="1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customHeight="1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customHeight="1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customHeight="1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customHeight="1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customHeight="1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customHeight="1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customHeight="1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customHeight="1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customHeight="1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customHeight="1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customHeight="1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customHeight="1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customHeight="1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customHeight="1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customHeight="1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customHeight="1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customHeight="1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customHeight="1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customHeight="1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customHeight="1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customHeight="1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customHeight="1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customHeight="1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customHeight="1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customHeight="1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customHeight="1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customHeight="1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customHeight="1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customHeight="1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customHeight="1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customHeight="1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customHeight="1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customHeight="1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customHeight="1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customHeight="1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customHeight="1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customHeight="1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customHeight="1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customHeight="1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customHeight="1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customHeight="1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customHeight="1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customHeight="1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customHeight="1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customHeight="1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customHeight="1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customHeight="1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customHeight="1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customHeight="1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customHeight="1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customHeight="1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customHeight="1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customHeight="1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customHeight="1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customHeight="1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customHeight="1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customHeight="1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customHeight="1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customHeight="1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customHeight="1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customHeight="1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customHeight="1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customHeight="1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customHeight="1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customHeight="1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customHeight="1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customHeight="1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customHeight="1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customHeight="1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customHeight="1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customHeight="1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customHeight="1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customHeight="1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customHeight="1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customHeight="1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customHeight="1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customHeight="1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customHeight="1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customHeight="1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customHeight="1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customHeight="1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customHeight="1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customHeight="1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customHeight="1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customHeight="1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customHeight="1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customHeight="1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customHeight="1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customHeight="1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customHeight="1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customHeight="1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customHeight="1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customHeight="1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customHeight="1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customHeight="1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customHeight="1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customHeight="1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customHeight="1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customHeight="1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customHeight="1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customHeight="1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customHeight="1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customHeight="1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customHeight="1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customHeight="1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customHeight="1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customHeight="1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customHeight="1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customHeight="1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customHeight="1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customHeight="1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customHeight="1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customHeight="1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customHeight="1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customHeight="1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customHeight="1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customHeight="1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customHeight="1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customHeight="1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customHeight="1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customHeight="1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customHeight="1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customHeight="1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customHeight="1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customHeight="1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customHeight="1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customHeight="1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customHeight="1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customHeight="1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customHeight="1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customHeight="1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customHeight="1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customHeight="1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customHeight="1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customHeight="1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customHeight="1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customHeight="1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customHeight="1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customHeight="1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customHeight="1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customHeight="1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customHeight="1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customHeight="1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customHeight="1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customHeight="1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customHeight="1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customHeight="1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customHeight="1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customHeight="1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customHeight="1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customHeight="1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customHeight="1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customHeight="1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customHeight="1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customHeight="1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customHeight="1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customHeight="1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customHeight="1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customHeight="1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customHeight="1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customHeight="1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customHeight="1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customHeight="1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customHeight="1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customHeight="1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customHeight="1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customHeight="1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customHeight="1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customHeight="1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customHeight="1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customHeight="1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customHeight="1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customHeight="1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customHeight="1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customHeight="1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customHeight="1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customHeight="1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customHeight="1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customHeight="1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customHeight="1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customHeight="1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customHeight="1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customHeight="1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customHeight="1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customHeight="1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customHeight="1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customHeight="1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customHeight="1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customHeight="1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customHeight="1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customHeight="1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customHeight="1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customHeight="1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customHeight="1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customHeight="1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customHeight="1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customHeight="1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customHeight="1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customHeight="1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customHeight="1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customHeight="1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customHeight="1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customHeight="1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customHeight="1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customHeight="1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customHeight="1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customHeight="1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customHeight="1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customHeight="1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customHeight="1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customHeight="1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customHeight="1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customHeight="1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customHeight="1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customHeight="1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customHeight="1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customHeight="1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customHeight="1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customHeight="1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customHeight="1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customHeight="1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customHeight="1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customHeight="1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customHeight="1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customHeight="1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customHeight="1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customHeight="1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customHeight="1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customHeight="1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customHeight="1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customHeight="1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customHeight="1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customHeight="1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customHeight="1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customHeight="1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customHeight="1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customHeight="1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customHeight="1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customHeight="1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customHeight="1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customHeight="1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customHeight="1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customHeight="1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customHeight="1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customHeight="1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customHeight="1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customHeight="1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customHeight="1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customHeight="1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customHeight="1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customHeight="1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customHeight="1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customHeight="1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customHeight="1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customHeight="1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customHeight="1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customHeight="1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customHeight="1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customHeight="1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customHeight="1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customHeight="1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customHeight="1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customHeight="1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customHeight="1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customHeight="1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customHeight="1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customHeight="1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customHeight="1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customHeight="1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customHeight="1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customHeight="1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customHeight="1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customHeight="1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customHeight="1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customHeight="1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customHeight="1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customHeight="1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customHeight="1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customHeight="1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customHeight="1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customHeight="1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customHeight="1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customHeight="1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customHeight="1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customHeight="1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customHeight="1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customHeight="1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customHeight="1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customHeight="1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customHeight="1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customHeight="1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customHeight="1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customHeight="1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customHeight="1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customHeight="1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customHeight="1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customHeight="1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customHeight="1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customHeight="1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customHeight="1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customHeight="1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customHeight="1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customHeight="1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customHeight="1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customHeight="1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customHeight="1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customHeight="1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customHeight="1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customHeight="1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customHeight="1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customHeight="1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customHeight="1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customHeight="1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customHeight="1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customHeight="1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customHeight="1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customHeight="1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customHeight="1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customHeight="1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customHeight="1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customHeight="1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customHeight="1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customHeight="1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customHeight="1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customHeight="1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customHeight="1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customHeight="1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customHeight="1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customHeight="1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customHeight="1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customHeight="1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customHeight="1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customHeight="1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customHeight="1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customHeight="1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customHeight="1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customHeight="1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customHeight="1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customHeight="1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customHeight="1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customHeight="1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customHeight="1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customHeight="1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customHeight="1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customHeight="1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customHeight="1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customHeight="1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customHeight="1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customHeight="1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customHeight="1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customHeight="1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customHeight="1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customHeight="1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customHeight="1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customHeight="1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customHeight="1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customHeight="1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customHeight="1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customHeight="1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customHeight="1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customHeight="1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customHeight="1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customHeight="1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customHeight="1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customHeight="1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customHeight="1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customHeight="1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customHeight="1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customHeight="1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customHeight="1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customHeight="1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customHeight="1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customHeight="1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customHeight="1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customHeight="1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customHeight="1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customHeight="1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customHeight="1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customHeight="1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customHeight="1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customHeight="1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customHeight="1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customHeight="1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customHeight="1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customHeight="1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customHeight="1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customHeight="1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customHeight="1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customHeight="1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customHeight="1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customHeight="1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customHeight="1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customHeight="1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customHeight="1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customHeight="1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customHeight="1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customHeight="1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customHeight="1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customHeight="1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customHeight="1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customHeight="1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customHeight="1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customHeight="1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customHeight="1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customHeight="1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customHeight="1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customHeight="1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customHeight="1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customHeight="1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customHeight="1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customHeight="1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customHeight="1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customHeight="1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customHeight="1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customHeight="1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customHeight="1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customHeight="1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customHeight="1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customHeight="1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customHeight="1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customHeight="1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customHeight="1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customHeight="1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customHeight="1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customHeight="1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customHeight="1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customHeight="1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customHeight="1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customHeight="1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customHeight="1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customHeight="1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customHeight="1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customHeight="1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customHeight="1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customHeight="1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customHeight="1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customHeight="1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customHeight="1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customHeight="1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customHeight="1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customHeight="1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customHeight="1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customHeight="1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customHeight="1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customHeight="1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customHeight="1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customHeight="1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customHeight="1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customHeight="1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customHeight="1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customHeight="1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customHeight="1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customHeight="1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customHeight="1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customHeight="1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customHeight="1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customHeight="1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customHeight="1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customHeight="1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customHeight="1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customHeight="1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customHeight="1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customHeight="1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customHeight="1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customHeight="1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customHeight="1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customHeight="1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customHeight="1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customHeight="1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customHeight="1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customHeight="1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customHeight="1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customHeight="1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customHeight="1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customHeight="1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customHeight="1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customHeight="1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customHeight="1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customHeight="1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customHeight="1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customHeight="1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customHeight="1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customHeight="1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customHeight="1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customHeight="1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customHeight="1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customHeight="1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customHeight="1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customHeight="1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customHeight="1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customHeight="1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customHeight="1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customHeight="1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customHeight="1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customHeight="1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customHeight="1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customHeight="1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customHeight="1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customHeight="1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customHeight="1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customHeight="1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customHeight="1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customHeight="1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customHeight="1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customHeight="1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customHeight="1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customHeight="1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customHeight="1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customHeight="1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customHeight="1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customHeight="1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customHeight="1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customHeight="1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customHeight="1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customHeight="1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customHeight="1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customHeight="1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customHeight="1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customHeight="1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customHeight="1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customHeight="1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customHeight="1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customHeight="1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customHeight="1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customHeight="1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customHeight="1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customHeight="1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customHeight="1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customHeight="1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customHeight="1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customHeight="1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customHeight="1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customHeight="1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customHeight="1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customHeight="1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customHeight="1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customHeight="1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customHeight="1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customHeight="1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customHeight="1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customHeight="1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customHeight="1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customHeight="1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customHeight="1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customHeight="1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customHeight="1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customHeight="1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customHeight="1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customHeight="1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customHeight="1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customHeight="1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customHeight="1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customHeight="1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customHeight="1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customHeight="1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customHeight="1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customHeight="1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customHeight="1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customHeight="1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customHeight="1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customHeight="1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customHeight="1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customHeight="1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customHeight="1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customHeight="1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customHeight="1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customHeight="1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customHeight="1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customHeight="1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customHeight="1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customHeight="1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customHeight="1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customHeight="1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customHeight="1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customHeight="1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customHeight="1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customHeight="1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customHeight="1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customHeight="1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customHeight="1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customHeight="1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customHeight="1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customHeight="1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customHeight="1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customHeight="1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customHeight="1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customHeight="1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customHeight="1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customHeight="1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customHeight="1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customHeight="1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customHeight="1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customHeight="1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customHeight="1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customHeight="1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customHeight="1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customHeight="1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customHeight="1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customHeight="1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customHeight="1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customHeight="1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customHeight="1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customHeight="1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customHeight="1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customHeight="1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customHeight="1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customHeight="1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customHeight="1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customHeight="1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customHeight="1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customHeight="1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customHeight="1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customHeight="1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customHeight="1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customHeight="1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customHeight="1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customHeight="1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customHeight="1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customHeight="1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customHeight="1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customHeight="1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customHeight="1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customHeight="1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customHeight="1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customHeight="1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customHeight="1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customHeight="1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customHeight="1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customHeight="1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customHeight="1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customHeight="1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customHeight="1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customHeight="1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customHeight="1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customHeight="1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customHeight="1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customHeight="1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customHeight="1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customHeight="1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customHeight="1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customHeight="1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customHeight="1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customHeight="1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customHeight="1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customHeight="1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customHeight="1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customHeight="1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customHeight="1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customHeight="1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customHeight="1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customHeight="1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customHeight="1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customHeight="1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customHeight="1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customHeight="1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customHeight="1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customHeight="1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customHeight="1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customHeight="1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customHeight="1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customHeight="1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customHeight="1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customHeight="1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customHeight="1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customHeight="1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customHeight="1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customHeight="1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customHeight="1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customHeight="1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customHeight="1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customHeight="1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customHeight="1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customHeight="1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customHeight="1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customHeight="1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customHeight="1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customHeight="1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customHeight="1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customHeight="1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customHeight="1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customHeight="1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customHeight="1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customHeight="1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customHeight="1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customHeight="1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customHeight="1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customHeight="1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customHeight="1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customHeight="1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customHeight="1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customHeight="1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customHeight="1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customHeight="1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customHeight="1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customHeight="1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customHeight="1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customHeight="1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customHeight="1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customHeight="1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customHeight="1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customHeight="1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customHeight="1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customHeight="1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customHeight="1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customHeight="1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customHeight="1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customHeight="1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customHeight="1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customHeight="1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customHeight="1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customHeight="1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customHeight="1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customHeight="1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customHeight="1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customHeight="1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customHeight="1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customHeight="1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customHeight="1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customHeight="1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customHeight="1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customHeight="1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customHeight="1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customHeight="1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customHeight="1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customHeight="1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customHeight="1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customHeight="1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customHeight="1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customHeight="1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customHeight="1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customHeight="1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customHeight="1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customHeight="1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customHeight="1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customHeight="1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customHeight="1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customHeight="1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customHeight="1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customHeight="1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customHeight="1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customHeight="1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customHeight="1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customHeight="1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customHeight="1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customHeight="1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customHeight="1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customHeight="1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customHeight="1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customHeight="1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customHeight="1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customHeight="1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customHeight="1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customHeight="1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customHeight="1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customHeight="1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customHeight="1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customHeight="1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customHeight="1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customHeight="1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customHeight="1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customHeight="1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customHeight="1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customHeight="1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customHeight="1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customHeight="1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customHeight="1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customHeight="1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customHeight="1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customHeight="1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customHeight="1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customHeight="1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customHeight="1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customHeight="1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customHeight="1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customHeight="1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customHeight="1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customHeight="1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customHeight="1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customHeight="1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customHeight="1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customHeight="1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customHeight="1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customHeight="1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customHeight="1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customHeight="1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customHeight="1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customHeight="1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customHeight="1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customHeight="1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customHeight="1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customHeight="1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customHeight="1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customHeight="1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customHeight="1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customHeight="1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customHeight="1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customHeight="1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customHeight="1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customHeight="1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customHeight="1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customHeight="1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customHeight="1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customHeight="1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customHeight="1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customHeight="1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customHeight="1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customHeight="1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customHeight="1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customHeight="1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customHeight="1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customHeight="1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customHeight="1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customHeight="1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customHeight="1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customHeight="1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customHeight="1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customHeight="1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customHeight="1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customHeight="1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customHeight="1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customHeight="1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customHeight="1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customHeight="1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customHeight="1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customHeight="1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customHeight="1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customHeight="1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customHeight="1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customHeight="1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customHeight="1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customHeight="1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customHeight="1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customHeight="1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customHeight="1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customHeight="1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customHeight="1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customHeight="1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customHeight="1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customHeight="1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customHeight="1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customHeight="1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customHeight="1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customHeight="1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customHeight="1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customHeight="1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customHeight="1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customHeight="1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customHeight="1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customHeight="1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customHeight="1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customHeight="1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customHeight="1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customHeight="1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customHeight="1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customHeight="1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customHeight="1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customHeight="1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customHeight="1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customHeight="1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customHeight="1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customHeight="1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customHeight="1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customHeight="1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customHeight="1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customHeight="1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customHeight="1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customHeight="1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customHeight="1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customHeight="1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customHeight="1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customHeight="1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customHeight="1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customHeight="1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customHeight="1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customHeight="1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customHeight="1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customHeight="1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customHeight="1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customHeight="1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customHeight="1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customHeight="1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customHeight="1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customHeight="1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customHeight="1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customHeight="1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customHeight="1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customHeight="1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customHeight="1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customHeight="1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customHeight="1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customHeight="1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customHeight="1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customHeight="1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customHeight="1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customHeight="1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customHeight="1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customHeight="1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customHeight="1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customHeight="1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customHeight="1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customHeight="1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customHeight="1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customHeight="1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customHeight="1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customHeight="1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customHeight="1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customHeight="1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customHeight="1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customHeight="1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customHeight="1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customHeight="1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customHeight="1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customHeight="1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customHeight="1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customHeight="1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customHeight="1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customHeight="1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customHeight="1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customHeight="1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customHeight="1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customHeight="1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customHeight="1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customHeight="1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customHeight="1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customHeight="1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customHeight="1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customHeight="1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customHeight="1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customHeight="1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customHeight="1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customHeight="1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customHeight="1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customHeight="1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customHeight="1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3" customHeight="1" x14ac:dyDescent="0.1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3" customHeight="1" x14ac:dyDescent="0.1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C24:E24"/>
    <mergeCell ref="C17:J17"/>
    <mergeCell ref="G18:J18"/>
    <mergeCell ref="B35:B47"/>
    <mergeCell ref="C5:E5"/>
    <mergeCell ref="C28:J28"/>
    <mergeCell ref="C29:E29"/>
    <mergeCell ref="C25:E25"/>
    <mergeCell ref="C3:J3"/>
    <mergeCell ref="G26:J26"/>
    <mergeCell ref="C33:C34"/>
    <mergeCell ref="K33:L33"/>
    <mergeCell ref="C22:E22"/>
    <mergeCell ref="D33:G33"/>
    <mergeCell ref="G25:J25"/>
    <mergeCell ref="C21:E21"/>
    <mergeCell ref="G22:J22"/>
    <mergeCell ref="G31:J31"/>
    <mergeCell ref="C20:J20"/>
    <mergeCell ref="C23:E23"/>
    <mergeCell ref="G21:J21"/>
    <mergeCell ref="H33:J33"/>
    <mergeCell ref="C18:E18"/>
    <mergeCell ref="C30:E30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Transaction Hedging (Payables)</vt:lpstr>
      <vt:lpstr>call_price</vt:lpstr>
      <vt:lpstr>call_strike</vt:lpstr>
      <vt:lpstr>contract_notional_value_payable</vt:lpstr>
      <vt:lpstr>current_spot_price_payable</vt:lpstr>
      <vt:lpstr>forward_price_payable</vt:lpstr>
      <vt:lpstr>future_spot_price_payable</vt:lpstr>
      <vt:lpstr>named_range</vt:lpstr>
      <vt:lpstr>rate_uk_1y_payable</vt:lpstr>
      <vt:lpstr>rate_us_1y_payable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Liam Nelson</cp:lastModifiedBy>
  <dcterms:created xsi:type="dcterms:W3CDTF">2026-04-04T05:18:58Z</dcterms:created>
  <dcterms:modified xsi:type="dcterms:W3CDTF">2026-04-04T05:56:02Z</dcterms:modified>
</cp:coreProperties>
</file>